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11_A55736507F97E4A3FD14268EA251CBE794B4D65E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Requests" sheetId="2" r:id="rId2"/>
    <sheet name="Choices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4" l="1"/>
  <c r="F17" i="4"/>
  <c r="F16" i="4"/>
  <c r="I12" i="4"/>
  <c r="I11" i="4"/>
  <c r="F11" i="4"/>
  <c r="I10" i="4"/>
  <c r="F10" i="4"/>
  <c r="C10" i="4"/>
  <c r="I9" i="4"/>
  <c r="F9" i="4"/>
  <c r="I8" i="4"/>
  <c r="F8" i="4"/>
  <c r="I7" i="4"/>
  <c r="F7" i="4"/>
  <c r="C7" i="4"/>
  <c r="I6" i="4"/>
  <c r="F6" i="4"/>
  <c r="C6" i="4"/>
  <c r="C9" i="4" l="1"/>
  <c r="C8" i="4"/>
</calcChain>
</file>

<file path=xl/sharedStrings.xml><?xml version="1.0" encoding="utf-8"?>
<sst xmlns="http://schemas.openxmlformats.org/spreadsheetml/2006/main" count="182" uniqueCount="102">
  <si>
    <t>PC MTBE Process Improvement Request — Training Dataset</t>
  </si>
  <si>
    <t>FICTIONAL TRAINING DATA — does not represent actual PC MTBE information, staff or performance.</t>
  </si>
  <si>
    <t>Sheet</t>
  </si>
  <si>
    <t>Purpose</t>
  </si>
  <si>
    <t>Requests</t>
  </si>
  <si>
    <t>12 fictional records. Copy the yellow-headed data rows (without headers) and paste into the SharePoint list in Edit in grid view (Exercise 2.2). Column order matches the list created in Exercise 2.1.</t>
  </si>
  <si>
    <t>Choices</t>
  </si>
  <si>
    <t>The exact choice values for the four Choice columns. Pasted values must match these exactly.</t>
  </si>
  <si>
    <t>Summary</t>
  </si>
  <si>
    <t>Expected answers calculated by formulas. Use them to check the Power BI measures in Exercise 5.2 (before participants add their own requests).</t>
  </si>
  <si>
    <t>How to edit</t>
  </si>
  <si>
    <t>Add new rows directly below the table on the Requests sheet; the Summary updates automatically. Drop-down lists enforce valid choice values.</t>
  </si>
  <si>
    <t>Request ID</t>
  </si>
  <si>
    <t>Pre-filled here for reference. If Power Automate generates IDs (Exercise 4.1), you may leave this column blank when pasting.</t>
  </si>
  <si>
    <t>Trainer</t>
  </si>
  <si>
    <t>Fakhrul Syahmi  |  mufasyahcons@gmail.com  |  © 2026</t>
  </si>
  <si>
    <t>Request Title</t>
  </si>
  <si>
    <t>Submission Date</t>
  </si>
  <si>
    <t>Department</t>
  </si>
  <si>
    <t>Request Type</t>
  </si>
  <si>
    <t>Description</t>
  </si>
  <si>
    <t>Priority</t>
  </si>
  <si>
    <t>Status</t>
  </si>
  <si>
    <t>Owner</t>
  </si>
  <si>
    <t>Completion Date</t>
  </si>
  <si>
    <t>FICTIONAL TRAINING DATA</t>
  </si>
  <si>
    <t>Automate daily shift handover log</t>
  </si>
  <si>
    <t>REQ-0001</t>
  </si>
  <si>
    <t>Operations</t>
  </si>
  <si>
    <t>Process Automation</t>
  </si>
  <si>
    <t>Replace the paper shift handover book with a digital log that supervisors can search.</t>
  </si>
  <si>
    <t>High</t>
  </si>
  <si>
    <t>Completed</t>
  </si>
  <si>
    <t>Aina Rahman</t>
  </si>
  <si>
    <t>Not actual PC MTBE information.</t>
  </si>
  <si>
    <t>Monthly cost report dashboard</t>
  </si>
  <si>
    <t>REQ-0002</t>
  </si>
  <si>
    <t>Finance</t>
  </si>
  <si>
    <t>Reporting Improvement</t>
  </si>
  <si>
    <t>Replace the manually compiled monthly cost spreadsheet with an automatically refreshed dashboard.</t>
  </si>
  <si>
    <t>Medium</t>
  </si>
  <si>
    <t>Daniel Lee</t>
  </si>
  <si>
    <t>Digital permit-to-work checklist</t>
  </si>
  <si>
    <t>REQ-0003</t>
  </si>
  <si>
    <t>HSE</t>
  </si>
  <si>
    <t>Digital Form</t>
  </si>
  <si>
    <t>Convert the paper permit-to-work checklist into a mobile form with photo attachments.</t>
  </si>
  <si>
    <t>In Progress</t>
  </si>
  <si>
    <t>Nurul Huda</t>
  </si>
  <si>
    <t>Central library for HR policies</t>
  </si>
  <si>
    <t>REQ-0004</t>
  </si>
  <si>
    <t>Human Resources</t>
  </si>
  <si>
    <t>Document Management</t>
  </si>
  <si>
    <t>Move HR policies from email attachments into one SharePoint library with version history.</t>
  </si>
  <si>
    <t>Low</t>
  </si>
  <si>
    <t>Kavitha Raj</t>
  </si>
  <si>
    <t>Spare parts request notification</t>
  </si>
  <si>
    <t>REQ-0005</t>
  </si>
  <si>
    <t>Maintenance</t>
  </si>
  <si>
    <t>Notify the store automatically when a technician submits a spare parts request.</t>
  </si>
  <si>
    <t>Approved</t>
  </si>
  <si>
    <t>Hafiz Ismail</t>
  </si>
  <si>
    <t>Vendor registration form</t>
  </si>
  <si>
    <t>REQ-0006</t>
  </si>
  <si>
    <t>Procurement</t>
  </si>
  <si>
    <t>Allow vendor registration details to be captured once and routed for review automatically.</t>
  </si>
  <si>
    <t>Pending Approval</t>
  </si>
  <si>
    <t>Weekly production KPI report</t>
  </si>
  <si>
    <t>REQ-0007</t>
  </si>
  <si>
    <t>Produce the weekly production KPI summary automatically instead of copying figures by hand.</t>
  </si>
  <si>
    <t>Laptop request approval flow</t>
  </si>
  <si>
    <t>REQ-0008</t>
  </si>
  <si>
    <t>IT</t>
  </si>
  <si>
    <t>Route laptop requests to the line manager for approval and notify IT when approved.</t>
  </si>
  <si>
    <t>Faris Hakimi</t>
  </si>
  <si>
    <t>Invoice approval reminder</t>
  </si>
  <si>
    <t>REQ-0009</t>
  </si>
  <si>
    <t>Send reminders for invoices waiting for approval longer than five working days.</t>
  </si>
  <si>
    <t>Rejected</t>
  </si>
  <si>
    <t>Incident trend dashboard</t>
  </si>
  <si>
    <t>REQ-0010</t>
  </si>
  <si>
    <t>Visualise monthly incident and near-miss trends by area for the HSE committee.</t>
  </si>
  <si>
    <t>Submitted</t>
  </si>
  <si>
    <t>Equipment manual library</t>
  </si>
  <si>
    <t>REQ-0011</t>
  </si>
  <si>
    <t>Store equipment manuals in a searchable library tagged by equipment and area.</t>
  </si>
  <si>
    <t>Training nomination form</t>
  </si>
  <si>
    <t>REQ-0012</t>
  </si>
  <si>
    <t>Replace the emailed training nomination template with an online form and approval.</t>
  </si>
  <si>
    <t>Status default = Submitted. These values must match the SharePoint list exactly.</t>
  </si>
  <si>
    <t>Other</t>
  </si>
  <si>
    <t>Expected results for Power BI (Exercise 5.2)</t>
  </si>
  <si>
    <t>Calculated from the Requests sheet by formulas. Fictional training data.</t>
  </si>
  <si>
    <t>Measure</t>
  </si>
  <si>
    <t>Expected value</t>
  </si>
  <si>
    <t>Count</t>
  </si>
  <si>
    <t>Total Requests</t>
  </si>
  <si>
    <t>Completed Requests</t>
  </si>
  <si>
    <t>Open Requests (not Completed or Rejected)</t>
  </si>
  <si>
    <t>Completion Rate</t>
  </si>
  <si>
    <t>Avg Days to Complete</t>
  </si>
  <si>
    <t>Note: Avg Days uses completed requests only (Completion Date filled).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</si>
</sst>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charset val="1"/>
    </font>
    <font>
      <b/>
      <sz val="16"/>
      <color rgb="FF4A5A2B"/>
      <name val="Arial"/>
      <family val="2"/>
    </font>
    <font>
      <b/>
      <sz val="10"/>
      <color rgb="FFB5543A"/>
      <name val="Arial"/>
      <family val="2"/>
    </font>
    <font>
      <b/>
      <sz val="11"/>
      <color rgb="FFFFFFFF"/>
      <name val="Arial"/>
      <family val="2"/>
    </font>
    <font>
      <b/>
      <sz val="11"/>
      <color rgb="FF2E2E2B"/>
      <name val="Arial"/>
      <family val="2"/>
    </font>
    <font>
      <sz val="11"/>
      <color rgb="FF2E2E2B"/>
      <name val="Arial"/>
      <family val="2"/>
    </font>
    <font>
      <b/>
      <sz val="11"/>
      <color rgb="FFB5543A"/>
      <name val="Arial"/>
      <family val="2"/>
    </font>
    <font>
      <sz val="10"/>
      <name val="Arial"/>
      <family val="2"/>
    </font>
    <font>
      <i/>
      <sz val="9"/>
      <color rgb="FF6A6456"/>
      <name val="Arial"/>
      <family val="2"/>
    </font>
    <font>
      <sz val="11"/>
      <name val="Arial"/>
      <family val="2"/>
    </font>
    <font>
      <b/>
      <sz val="14"/>
      <color rgb="FF4A5A2B"/>
      <name val="Arial"/>
      <family val="2"/>
    </font>
    <font>
      <i/>
      <sz val="9"/>
      <color rgb="FFB5543A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5A2B"/>
        <bgColor rgb="FF6A6456"/>
      </patternFill>
    </fill>
    <fill>
      <patternFill patternType="solid">
        <fgColor rgb="FFF6F0E1"/>
        <bgColor rgb="FFFFFFFF"/>
      </patternFill>
    </fill>
    <fill>
      <patternFill patternType="solid">
        <fgColor rgb="FFFFFFFF"/>
        <bgColor rgb="FFF6F0E1"/>
      </patternFill>
    </fill>
  </fills>
  <borders count="2">
    <border>
      <left/>
      <right/>
      <top/>
      <bottom/>
      <diagonal/>
    </border>
    <border>
      <left style="thin">
        <color rgb="FFD9CFB8"/>
      </left>
      <right style="thin">
        <color rgb="FFD9CFB8"/>
      </right>
      <top style="thin">
        <color rgb="FFD9CFB8"/>
      </top>
      <bottom style="thin">
        <color rgb="FFD9CFB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2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3" fillId="2" borderId="0" xfId="0" applyFont="1" applyFill="1"/>
    <xf numFmtId="0" fontId="9" fillId="3" borderId="1" xfId="0" applyFont="1" applyFill="1" applyBorder="1"/>
    <xf numFmtId="0" fontId="9" fillId="4" borderId="1" xfId="0" applyFont="1" applyFill="1" applyBorder="1"/>
    <xf numFmtId="0" fontId="10" fillId="0" borderId="0" xfId="0" applyFont="1"/>
    <xf numFmtId="0" fontId="11" fillId="0" borderId="0" xfId="0" applyFont="1"/>
    <xf numFmtId="1" fontId="12" fillId="3" borderId="1" xfId="0" applyNumberFormat="1" applyFont="1" applyFill="1" applyBorder="1"/>
    <xf numFmtId="0" fontId="9" fillId="0" borderId="1" xfId="0" applyFont="1" applyBorder="1"/>
    <xf numFmtId="1" fontId="12" fillId="4" borderId="1" xfId="0" applyNumberFormat="1" applyFont="1" applyFill="1" applyBorder="1"/>
    <xf numFmtId="164" fontId="12" fillId="4" borderId="1" xfId="0" applyNumberFormat="1" applyFont="1" applyFill="1" applyBorder="1"/>
    <xf numFmtId="165" fontId="1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B8"/>
      <rgbColor rgb="FF808080"/>
      <rgbColor rgb="FF9999FF"/>
      <rgbColor rgb="FFB5543A"/>
      <rgbColor rgb="FFF6F0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456"/>
      <rgbColor rgb="FF969696"/>
      <rgbColor rgb="FF003366"/>
      <rgbColor rgb="FF339966"/>
      <rgbColor rgb="FF003300"/>
      <rgbColor rgb="FF4A5A2B"/>
      <rgbColor rgb="FF993300"/>
      <rgbColor rgb="FF993366"/>
      <rgbColor rgb="FF333399"/>
      <rgbColor rgb="FF2E2E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ests" displayName="Requests" ref="A1:J13" totalsRowShown="0">
  <autoFilter ref="A1:J13" xr:uid="{00000000-0009-0000-0100-000001000000}"/>
  <tableColumns count="10">
    <tableColumn id="1" xr3:uid="{00000000-0010-0000-0000-000001000000}" name="Request Title"/>
    <tableColumn id="2" xr3:uid="{00000000-0010-0000-0000-000002000000}" name="Request ID"/>
    <tableColumn id="3" xr3:uid="{00000000-0010-0000-0000-000003000000}" name="Submission Date"/>
    <tableColumn id="4" xr3:uid="{00000000-0010-0000-0000-000004000000}" name="Department"/>
    <tableColumn id="5" xr3:uid="{00000000-0010-0000-0000-000005000000}" name="Request Type"/>
    <tableColumn id="6" xr3:uid="{00000000-0010-0000-0000-000006000000}" name="Description"/>
    <tableColumn id="7" xr3:uid="{00000000-0010-0000-0000-000007000000}" name="Priority"/>
    <tableColumn id="8" xr3:uid="{00000000-0010-0000-0000-000008000000}" name="Status"/>
    <tableColumn id="9" xr3:uid="{00000000-0010-0000-0000-000009000000}" name="Owner"/>
    <tableColumn id="10" xr3:uid="{00000000-0010-0000-0000-00000A000000}" name="Completion 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90" customWidth="1"/>
  </cols>
  <sheetData>
    <row r="2" spans="2:3" ht="21" x14ac:dyDescent="0.4">
      <c r="B2" s="1" t="s">
        <v>0</v>
      </c>
    </row>
    <row r="3" spans="2:3" x14ac:dyDescent="0.3">
      <c r="B3" s="2" t="s">
        <v>1</v>
      </c>
    </row>
    <row r="5" spans="2:3" ht="18" customHeight="1" x14ac:dyDescent="0.3">
      <c r="B5" s="3" t="s">
        <v>2</v>
      </c>
      <c r="C5" s="3" t="s">
        <v>3</v>
      </c>
    </row>
    <row r="6" spans="2:3" ht="33.75" customHeight="1" x14ac:dyDescent="0.3">
      <c r="B6" s="4" t="s">
        <v>4</v>
      </c>
      <c r="C6" s="5" t="s">
        <v>5</v>
      </c>
    </row>
    <row r="7" spans="2:3" ht="33.75" customHeight="1" x14ac:dyDescent="0.3">
      <c r="B7" s="6" t="s">
        <v>6</v>
      </c>
      <c r="C7" s="7" t="s">
        <v>7</v>
      </c>
    </row>
    <row r="8" spans="2:3" ht="33.75" customHeight="1" x14ac:dyDescent="0.3">
      <c r="B8" s="4" t="s">
        <v>8</v>
      </c>
      <c r="C8" s="5" t="s">
        <v>9</v>
      </c>
    </row>
    <row r="9" spans="2:3" ht="33.75" customHeight="1" x14ac:dyDescent="0.3">
      <c r="B9" s="6" t="s">
        <v>10</v>
      </c>
      <c r="C9" s="7" t="s">
        <v>11</v>
      </c>
    </row>
    <row r="10" spans="2:3" ht="33.75" customHeight="1" x14ac:dyDescent="0.3">
      <c r="B10" s="4" t="s">
        <v>12</v>
      </c>
      <c r="C10" s="5" t="s">
        <v>13</v>
      </c>
    </row>
    <row r="11" spans="2:3" ht="33.75" customHeight="1" x14ac:dyDescent="0.3">
      <c r="B11" s="6" t="s">
        <v>14</v>
      </c>
      <c r="C11" s="7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11" customWidth="1"/>
    <col min="3" max="3" width="15" customWidth="1"/>
    <col min="4" max="4" width="17" customWidth="1"/>
    <col min="5" max="5" width="22" customWidth="1"/>
    <col min="6" max="6" width="70" customWidth="1"/>
    <col min="7" max="7" width="10" customWidth="1"/>
    <col min="8" max="8" width="17" customWidth="1"/>
    <col min="9" max="9" width="15" customWidth="1"/>
    <col min="10" max="10" width="16" customWidth="1"/>
  </cols>
  <sheetData>
    <row r="1" spans="1:12" x14ac:dyDescent="0.3">
      <c r="A1" s="8" t="s">
        <v>16</v>
      </c>
      <c r="B1" s="8" t="s">
        <v>12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L1" s="9" t="s">
        <v>25</v>
      </c>
    </row>
    <row r="2" spans="1:12" ht="26.4" x14ac:dyDescent="0.3">
      <c r="A2" s="10" t="s">
        <v>26</v>
      </c>
      <c r="B2" s="10" t="s">
        <v>27</v>
      </c>
      <c r="C2" s="11">
        <v>46175</v>
      </c>
      <c r="D2" s="10" t="s">
        <v>28</v>
      </c>
      <c r="E2" s="10" t="s">
        <v>29</v>
      </c>
      <c r="F2" s="12" t="s">
        <v>30</v>
      </c>
      <c r="G2" s="10" t="s">
        <v>31</v>
      </c>
      <c r="H2" s="10" t="s">
        <v>32</v>
      </c>
      <c r="I2" s="10" t="s">
        <v>33</v>
      </c>
      <c r="J2" s="11">
        <v>46203</v>
      </c>
      <c r="L2" s="13" t="s">
        <v>34</v>
      </c>
    </row>
    <row r="3" spans="1:12" ht="26.4" x14ac:dyDescent="0.3">
      <c r="A3" s="10" t="s">
        <v>35</v>
      </c>
      <c r="B3" s="10" t="s">
        <v>36</v>
      </c>
      <c r="C3" s="11">
        <v>46182</v>
      </c>
      <c r="D3" s="10" t="s">
        <v>37</v>
      </c>
      <c r="E3" s="10" t="s">
        <v>38</v>
      </c>
      <c r="F3" s="12" t="s">
        <v>39</v>
      </c>
      <c r="G3" s="10" t="s">
        <v>40</v>
      </c>
      <c r="H3" s="10" t="s">
        <v>32</v>
      </c>
      <c r="I3" s="10" t="s">
        <v>41</v>
      </c>
      <c r="J3" s="11">
        <v>46224</v>
      </c>
    </row>
    <row r="4" spans="1:12" ht="26.4" x14ac:dyDescent="0.3">
      <c r="A4" s="10" t="s">
        <v>42</v>
      </c>
      <c r="B4" s="10" t="s">
        <v>43</v>
      </c>
      <c r="C4" s="11">
        <v>46189</v>
      </c>
      <c r="D4" s="10" t="s">
        <v>44</v>
      </c>
      <c r="E4" s="10" t="s">
        <v>45</v>
      </c>
      <c r="F4" s="12" t="s">
        <v>46</v>
      </c>
      <c r="G4" s="10" t="s">
        <v>31</v>
      </c>
      <c r="H4" s="10" t="s">
        <v>47</v>
      </c>
      <c r="I4" s="10" t="s">
        <v>48</v>
      </c>
      <c r="J4" s="11"/>
    </row>
    <row r="5" spans="1:12" ht="26.4" x14ac:dyDescent="0.3">
      <c r="A5" s="10" t="s">
        <v>49</v>
      </c>
      <c r="B5" s="10" t="s">
        <v>50</v>
      </c>
      <c r="C5" s="11">
        <v>46196</v>
      </c>
      <c r="D5" s="10" t="s">
        <v>51</v>
      </c>
      <c r="E5" s="10" t="s">
        <v>52</v>
      </c>
      <c r="F5" s="12" t="s">
        <v>53</v>
      </c>
      <c r="G5" s="10" t="s">
        <v>54</v>
      </c>
      <c r="H5" s="10" t="s">
        <v>32</v>
      </c>
      <c r="I5" s="10" t="s">
        <v>55</v>
      </c>
      <c r="J5" s="11">
        <v>46217</v>
      </c>
    </row>
    <row r="6" spans="1:12" x14ac:dyDescent="0.3">
      <c r="A6" s="10" t="s">
        <v>56</v>
      </c>
      <c r="B6" s="10" t="s">
        <v>57</v>
      </c>
      <c r="C6" s="11">
        <v>46210</v>
      </c>
      <c r="D6" s="10" t="s">
        <v>58</v>
      </c>
      <c r="E6" s="10" t="s">
        <v>29</v>
      </c>
      <c r="F6" s="12" t="s">
        <v>59</v>
      </c>
      <c r="G6" s="10" t="s">
        <v>40</v>
      </c>
      <c r="H6" s="10" t="s">
        <v>60</v>
      </c>
      <c r="I6" s="10" t="s">
        <v>61</v>
      </c>
      <c r="J6" s="11"/>
    </row>
    <row r="7" spans="1:12" ht="26.4" x14ac:dyDescent="0.3">
      <c r="A7" s="10" t="s">
        <v>62</v>
      </c>
      <c r="B7" s="10" t="s">
        <v>63</v>
      </c>
      <c r="C7" s="11">
        <v>46217</v>
      </c>
      <c r="D7" s="10" t="s">
        <v>64</v>
      </c>
      <c r="E7" s="10" t="s">
        <v>45</v>
      </c>
      <c r="F7" s="12" t="s">
        <v>65</v>
      </c>
      <c r="G7" s="10" t="s">
        <v>40</v>
      </c>
      <c r="H7" s="10" t="s">
        <v>66</v>
      </c>
      <c r="I7" s="10" t="s">
        <v>41</v>
      </c>
      <c r="J7" s="11"/>
    </row>
    <row r="8" spans="1:12" ht="26.4" x14ac:dyDescent="0.3">
      <c r="A8" s="10" t="s">
        <v>67</v>
      </c>
      <c r="B8" s="10" t="s">
        <v>68</v>
      </c>
      <c r="C8" s="11">
        <v>46231</v>
      </c>
      <c r="D8" s="10" t="s">
        <v>28</v>
      </c>
      <c r="E8" s="10" t="s">
        <v>38</v>
      </c>
      <c r="F8" s="12" t="s">
        <v>69</v>
      </c>
      <c r="G8" s="10" t="s">
        <v>31</v>
      </c>
      <c r="H8" s="10" t="s">
        <v>47</v>
      </c>
      <c r="I8" s="10" t="s">
        <v>33</v>
      </c>
      <c r="J8" s="11"/>
    </row>
    <row r="9" spans="1:12" ht="26.4" x14ac:dyDescent="0.3">
      <c r="A9" s="10" t="s">
        <v>70</v>
      </c>
      <c r="B9" s="10" t="s">
        <v>71</v>
      </c>
      <c r="C9" s="11">
        <v>46238</v>
      </c>
      <c r="D9" s="10" t="s">
        <v>72</v>
      </c>
      <c r="E9" s="10" t="s">
        <v>29</v>
      </c>
      <c r="F9" s="12" t="s">
        <v>73</v>
      </c>
      <c r="G9" s="10" t="s">
        <v>54</v>
      </c>
      <c r="H9" s="10" t="s">
        <v>32</v>
      </c>
      <c r="I9" s="10" t="s">
        <v>74</v>
      </c>
      <c r="J9" s="11">
        <v>46259</v>
      </c>
    </row>
    <row r="10" spans="1:12" x14ac:dyDescent="0.3">
      <c r="A10" s="10" t="s">
        <v>75</v>
      </c>
      <c r="B10" s="10" t="s">
        <v>76</v>
      </c>
      <c r="C10" s="11">
        <v>46252</v>
      </c>
      <c r="D10" s="10" t="s">
        <v>37</v>
      </c>
      <c r="E10" s="10" t="s">
        <v>29</v>
      </c>
      <c r="F10" s="12" t="s">
        <v>77</v>
      </c>
      <c r="G10" s="10" t="s">
        <v>31</v>
      </c>
      <c r="H10" s="10" t="s">
        <v>78</v>
      </c>
      <c r="I10" s="10" t="s">
        <v>55</v>
      </c>
      <c r="J10" s="11"/>
    </row>
    <row r="11" spans="1:12" x14ac:dyDescent="0.3">
      <c r="A11" s="10" t="s">
        <v>79</v>
      </c>
      <c r="B11" s="10" t="s">
        <v>80</v>
      </c>
      <c r="C11" s="11">
        <v>46266</v>
      </c>
      <c r="D11" s="10" t="s">
        <v>44</v>
      </c>
      <c r="E11" s="10" t="s">
        <v>38</v>
      </c>
      <c r="F11" s="12" t="s">
        <v>81</v>
      </c>
      <c r="G11" s="10" t="s">
        <v>31</v>
      </c>
      <c r="H11" s="10" t="s">
        <v>82</v>
      </c>
      <c r="I11" s="10" t="s">
        <v>48</v>
      </c>
      <c r="J11" s="11"/>
    </row>
    <row r="12" spans="1:12" x14ac:dyDescent="0.3">
      <c r="A12" s="10" t="s">
        <v>83</v>
      </c>
      <c r="B12" s="10" t="s">
        <v>84</v>
      </c>
      <c r="C12" s="11">
        <v>46273</v>
      </c>
      <c r="D12" s="10" t="s">
        <v>58</v>
      </c>
      <c r="E12" s="10" t="s">
        <v>52</v>
      </c>
      <c r="F12" s="12" t="s">
        <v>85</v>
      </c>
      <c r="G12" s="10" t="s">
        <v>40</v>
      </c>
      <c r="H12" s="10" t="s">
        <v>82</v>
      </c>
      <c r="I12" s="10" t="s">
        <v>61</v>
      </c>
      <c r="J12" s="11"/>
    </row>
    <row r="13" spans="1:12" x14ac:dyDescent="0.3">
      <c r="A13" s="10" t="s">
        <v>86</v>
      </c>
      <c r="B13" s="10" t="s">
        <v>87</v>
      </c>
      <c r="C13" s="11">
        <v>46280</v>
      </c>
      <c r="D13" s="10" t="s">
        <v>51</v>
      </c>
      <c r="E13" s="10" t="s">
        <v>45</v>
      </c>
      <c r="F13" s="12" t="s">
        <v>88</v>
      </c>
      <c r="G13" s="10" t="s">
        <v>54</v>
      </c>
      <c r="H13" s="10" t="s">
        <v>66</v>
      </c>
      <c r="I13" s="10" t="s">
        <v>74</v>
      </c>
      <c r="J13" s="1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Choices!$A$2:$A$8</xm:f>
          </x14:formula1>
          <x14:formula2>
            <xm:f>0</xm:f>
          </x14:formula2>
          <xm:sqref>D2:D500</xm:sqref>
        </x14:dataValidation>
        <x14:dataValidation type="list" allowBlank="1" xr:uid="{00000000-0002-0000-0100-000001000000}">
          <x14:formula1>
            <xm:f>Choices!$B$2:$B$6</xm:f>
          </x14:formula1>
          <x14:formula2>
            <xm:f>0</xm:f>
          </x14:formula2>
          <xm:sqref>E2:E500</xm:sqref>
        </x14:dataValidation>
        <x14:dataValidation type="list" allowBlank="1" xr:uid="{00000000-0002-0000-0100-000002000000}">
          <x14:formula1>
            <xm:f>Choices!$C$2:$C$4</xm:f>
          </x14:formula1>
          <x14:formula2>
            <xm:f>0</xm:f>
          </x14:formula2>
          <xm:sqref>G2:G500</xm:sqref>
        </x14:dataValidation>
        <x14:dataValidation type="list" allowBlank="1" xr:uid="{00000000-0002-0000-0100-000003000000}">
          <x14:formula1>
            <xm:f>Choices!$D$2:$D$7</xm:f>
          </x14:formula1>
          <x14:formula2>
            <xm:f>0</xm:f>
          </x14:formula2>
          <xm:sqref>H2:H500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Normal="100" workbookViewId="0"/>
  </sheetViews>
  <sheetFormatPr defaultColWidth="8.6640625" defaultRowHeight="14.4" x14ac:dyDescent="0.3"/>
  <cols>
    <col min="1" max="4" width="24" customWidth="1"/>
  </cols>
  <sheetData>
    <row r="1" spans="1:6" x14ac:dyDescent="0.3">
      <c r="A1" s="14" t="s">
        <v>18</v>
      </c>
      <c r="B1" s="14" t="s">
        <v>19</v>
      </c>
      <c r="C1" s="14" t="s">
        <v>21</v>
      </c>
      <c r="D1" s="14" t="s">
        <v>22</v>
      </c>
      <c r="F1" s="13" t="s">
        <v>89</v>
      </c>
    </row>
    <row r="2" spans="1:6" x14ac:dyDescent="0.3">
      <c r="A2" s="15" t="s">
        <v>28</v>
      </c>
      <c r="B2" s="15" t="s">
        <v>29</v>
      </c>
      <c r="C2" s="15" t="s">
        <v>54</v>
      </c>
      <c r="D2" s="15" t="s">
        <v>82</v>
      </c>
    </row>
    <row r="3" spans="1:6" x14ac:dyDescent="0.3">
      <c r="A3" s="16" t="s">
        <v>58</v>
      </c>
      <c r="B3" s="16" t="s">
        <v>38</v>
      </c>
      <c r="C3" s="16" t="s">
        <v>40</v>
      </c>
      <c r="D3" s="16" t="s">
        <v>66</v>
      </c>
    </row>
    <row r="4" spans="1:6" x14ac:dyDescent="0.3">
      <c r="A4" s="15" t="s">
        <v>37</v>
      </c>
      <c r="B4" s="15" t="s">
        <v>52</v>
      </c>
      <c r="C4" s="15" t="s">
        <v>31</v>
      </c>
      <c r="D4" s="15" t="s">
        <v>60</v>
      </c>
    </row>
    <row r="5" spans="1:6" x14ac:dyDescent="0.3">
      <c r="A5" s="16" t="s">
        <v>51</v>
      </c>
      <c r="B5" s="16" t="s">
        <v>45</v>
      </c>
      <c r="D5" s="16" t="s">
        <v>78</v>
      </c>
    </row>
    <row r="6" spans="1:6" x14ac:dyDescent="0.3">
      <c r="A6" s="15" t="s">
        <v>64</v>
      </c>
      <c r="B6" s="15" t="s">
        <v>90</v>
      </c>
      <c r="D6" s="15" t="s">
        <v>47</v>
      </c>
    </row>
    <row r="7" spans="1:6" x14ac:dyDescent="0.3">
      <c r="A7" s="16" t="s">
        <v>44</v>
      </c>
      <c r="D7" s="16" t="s">
        <v>32</v>
      </c>
    </row>
    <row r="8" spans="1:6" x14ac:dyDescent="0.3">
      <c r="A8" s="15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8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4" customWidth="1"/>
    <col min="3" max="3" width="16" customWidth="1"/>
    <col min="4" max="4" width="4" customWidth="1"/>
    <col min="5" max="5" width="22" customWidth="1"/>
    <col min="6" max="6" width="12" customWidth="1"/>
    <col min="7" max="7" width="4" customWidth="1"/>
    <col min="8" max="8" width="18" customWidth="1"/>
    <col min="9" max="9" width="12" customWidth="1"/>
  </cols>
  <sheetData>
    <row r="2" spans="2:9" ht="17.399999999999999" x14ac:dyDescent="0.3">
      <c r="B2" s="17" t="s">
        <v>91</v>
      </c>
    </row>
    <row r="3" spans="2:9" x14ac:dyDescent="0.3">
      <c r="B3" s="18" t="s">
        <v>92</v>
      </c>
    </row>
    <row r="5" spans="2:9" x14ac:dyDescent="0.3">
      <c r="B5" s="14" t="s">
        <v>93</v>
      </c>
      <c r="C5" s="14" t="s">
        <v>94</v>
      </c>
      <c r="E5" s="14" t="s">
        <v>22</v>
      </c>
      <c r="F5" s="14" t="s">
        <v>95</v>
      </c>
      <c r="H5" s="14" t="s">
        <v>18</v>
      </c>
      <c r="I5" s="14" t="s">
        <v>95</v>
      </c>
    </row>
    <row r="6" spans="2:9" x14ac:dyDescent="0.3">
      <c r="B6" s="15" t="s">
        <v>96</v>
      </c>
      <c r="C6" s="19">
        <f>COUNTA('Requests'!$A$2:$A$500)</f>
        <v>12</v>
      </c>
      <c r="E6" s="20" t="s">
        <v>82</v>
      </c>
      <c r="F6" s="20">
        <f>COUNTIF('Requests'!$H$2:$H$500,E6)</f>
        <v>2</v>
      </c>
      <c r="H6" s="20" t="s">
        <v>28</v>
      </c>
      <c r="I6" s="20">
        <f>COUNTIF('Requests'!$D$2:$D$500,H6)</f>
        <v>2</v>
      </c>
    </row>
    <row r="7" spans="2:9" x14ac:dyDescent="0.3">
      <c r="B7" s="16" t="s">
        <v>97</v>
      </c>
      <c r="C7" s="21">
        <f>COUNTIF('Requests'!$H$2:$H$500,"Completed")</f>
        <v>4</v>
      </c>
      <c r="E7" s="20" t="s">
        <v>66</v>
      </c>
      <c r="F7" s="20">
        <f>COUNTIF('Requests'!$H$2:$H$500,E7)</f>
        <v>2</v>
      </c>
      <c r="H7" s="20" t="s">
        <v>58</v>
      </c>
      <c r="I7" s="20">
        <f>COUNTIF('Requests'!$D$2:$D$500,H7)</f>
        <v>2</v>
      </c>
    </row>
    <row r="8" spans="2:9" x14ac:dyDescent="0.3">
      <c r="B8" s="15" t="s">
        <v>98</v>
      </c>
      <c r="C8" s="19">
        <f>C6-C7-COUNTIF('Requests'!$H$2:$H$500,"Rejected")</f>
        <v>7</v>
      </c>
      <c r="E8" s="20" t="s">
        <v>60</v>
      </c>
      <c r="F8" s="20">
        <f>COUNTIF('Requests'!$H$2:$H$500,E8)</f>
        <v>1</v>
      </c>
      <c r="H8" s="20" t="s">
        <v>37</v>
      </c>
      <c r="I8" s="20">
        <f>COUNTIF('Requests'!$D$2:$D$500,H8)</f>
        <v>2</v>
      </c>
    </row>
    <row r="9" spans="2:9" x14ac:dyDescent="0.3">
      <c r="B9" s="16" t="s">
        <v>99</v>
      </c>
      <c r="C9" s="22">
        <f>IF(C6=0,0,C7/C6)</f>
        <v>0.33333333333333331</v>
      </c>
      <c r="E9" s="20" t="s">
        <v>78</v>
      </c>
      <c r="F9" s="20">
        <f>COUNTIF('Requests'!$H$2:$H$500,E9)</f>
        <v>1</v>
      </c>
      <c r="H9" s="20" t="s">
        <v>51</v>
      </c>
      <c r="I9" s="20">
        <f>COUNTIF('Requests'!$D$2:$D$500,H9)</f>
        <v>2</v>
      </c>
    </row>
    <row r="10" spans="2:9" x14ac:dyDescent="0.3">
      <c r="B10" s="15" t="s">
        <v>100</v>
      </c>
      <c r="C10" s="23">
        <f>IFERROR(SUMPRODUCT(('Requests'!$J$2:$J$500&lt;&gt;"")*('Requests'!$J$2:$J$500-'Requests'!$C$2:$C$500))/COUNT('Requests'!$J$2:$J$500),0)</f>
        <v>28</v>
      </c>
      <c r="E10" s="20" t="s">
        <v>47</v>
      </c>
      <c r="F10" s="20">
        <f>COUNTIF('Requests'!$H$2:$H$500,E10)</f>
        <v>2</v>
      </c>
      <c r="H10" s="20" t="s">
        <v>64</v>
      </c>
      <c r="I10" s="20">
        <f>COUNTIF('Requests'!$D$2:$D$500,H10)</f>
        <v>1</v>
      </c>
    </row>
    <row r="11" spans="2:9" x14ac:dyDescent="0.3">
      <c r="E11" s="20" t="s">
        <v>32</v>
      </c>
      <c r="F11" s="20">
        <f>COUNTIF('Requests'!$H$2:$H$500,E11)</f>
        <v>4</v>
      </c>
      <c r="H11" s="20" t="s">
        <v>44</v>
      </c>
      <c r="I11" s="20">
        <f>COUNTIF('Requests'!$D$2:$D$500,H11)</f>
        <v>2</v>
      </c>
    </row>
    <row r="12" spans="2:9" x14ac:dyDescent="0.3">
      <c r="H12" s="20" t="s">
        <v>72</v>
      </c>
      <c r="I12" s="20">
        <f>COUNTIF('Requests'!$D$2:$D$500,H12)</f>
        <v>1</v>
      </c>
    </row>
    <row r="13" spans="2:9" x14ac:dyDescent="0.3">
      <c r="B13" s="13" t="s">
        <v>101</v>
      </c>
    </row>
    <row r="15" spans="2:9" x14ac:dyDescent="0.3">
      <c r="E15" s="14" t="s">
        <v>21</v>
      </c>
      <c r="F15" s="14" t="s">
        <v>95</v>
      </c>
    </row>
    <row r="16" spans="2:9" x14ac:dyDescent="0.3">
      <c r="E16" s="20" t="s">
        <v>54</v>
      </c>
      <c r="F16" s="20">
        <f>COUNTIF('Requests'!$G$2:$G$500,E16)</f>
        <v>3</v>
      </c>
    </row>
    <row r="17" spans="5:6" x14ac:dyDescent="0.3">
      <c r="E17" s="20" t="s">
        <v>40</v>
      </c>
      <c r="F17" s="20">
        <f>COUNTIF('Requests'!$G$2:$G$500,E17)</f>
        <v>4</v>
      </c>
    </row>
    <row r="18" spans="5:6" x14ac:dyDescent="0.3">
      <c r="E18" s="20" t="s">
        <v>31</v>
      </c>
      <c r="F18" s="20">
        <f>COUNTIF('Requests'!$G$2:$G$500,E18)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Requests</vt:lpstr>
      <vt:lpstr>Choices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Fakhrul Syahmi</cp:lastModifiedBy>
  <cp:revision>0</cp:revision>
  <dcterms:created xsi:type="dcterms:W3CDTF">2026-09-28T15:48:09Z</dcterms:created>
  <dcterms:modified xsi:type="dcterms:W3CDTF">2026-09-28T16:14:04Z</dcterms:modified>
  <dc:language>en-US</dc:language>
</cp:coreProperties>
</file>